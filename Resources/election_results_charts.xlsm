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nassis\Desktop\DataClass\Analysis Projects\Module 3\Election_Analysis\Resources\"/>
    </mc:Choice>
  </mc:AlternateContent>
  <xr:revisionPtr revIDLastSave="0" documentId="13_ncr:1_{8B591154-B7A3-4344-ADEF-EE507953089E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election_analysis" sheetId="3" r:id="rId1"/>
  </sheets>
  <definedNames>
    <definedName name="ExternalData_1" localSheetId="0" hidden="1">election_analysis!$A$1:$A$22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3" l="1"/>
  <c r="J5" i="3"/>
  <c r="J3" i="3"/>
  <c r="I6" i="3"/>
  <c r="F4" i="3"/>
  <c r="F5" i="3"/>
  <c r="F3" i="3"/>
  <c r="E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9C26E3-E3F9-47F7-8243-14932C2A5D7A}" keepAlive="1" name="Query - election_analysis" description="Connection to the 'election_analysis' query in the workbook." type="5" refreshedVersion="8" background="1" saveData="1">
    <dbPr connection="Provider=Microsoft.Mashup.OleDb.1;Data Source=$Workbook$;Location=election_analysis;Extended Properties=&quot;&quot;" command="SELECT * FROM [election_analysis]"/>
  </connection>
</connections>
</file>

<file path=xl/sharedStrings.xml><?xml version="1.0" encoding="utf-8"?>
<sst xmlns="http://schemas.openxmlformats.org/spreadsheetml/2006/main" count="36" uniqueCount="28">
  <si>
    <t>County</t>
  </si>
  <si>
    <t>Candidate</t>
  </si>
  <si>
    <t>Jefferson</t>
  </si>
  <si>
    <t>Charles Casper Stockham</t>
  </si>
  <si>
    <t>Diana DeGette</t>
  </si>
  <si>
    <t>Raymon Anthony Doane</t>
  </si>
  <si>
    <t>Denver</t>
  </si>
  <si>
    <t>Arapahoe</t>
  </si>
  <si>
    <t>Column1</t>
  </si>
  <si>
    <t/>
  </si>
  <si>
    <t>Election Results</t>
  </si>
  <si>
    <t>-------------------------</t>
  </si>
  <si>
    <t>Total Votes: 369,711</t>
  </si>
  <si>
    <t>County Votes:</t>
  </si>
  <si>
    <t>Jefferson: 10.5% (38,855)</t>
  </si>
  <si>
    <t>Denver: 82.8% (306,055)</t>
  </si>
  <si>
    <t>Arapahoe: 6.7% (24,801)</t>
  </si>
  <si>
    <t>Largest County Turnout: Denver</t>
  </si>
  <si>
    <t>Charles Casper Stockham: 23.0% (85,213)</t>
  </si>
  <si>
    <t>Diana DeGette: 73.8% (272,892)</t>
  </si>
  <si>
    <t>Raymon Anthony Doane: 3.1% (11,606)</t>
  </si>
  <si>
    <t>Winner: Diana DeGette</t>
  </si>
  <si>
    <t>Winning Vote Count: 272,892</t>
  </si>
  <si>
    <t>Winning Percentage: 73.8%</t>
  </si>
  <si>
    <t>County Votes</t>
  </si>
  <si>
    <t>Candidate Votes</t>
  </si>
  <si>
    <t>Total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</si>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</sst>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NumberFormat="1"/>
    <xf numFmtId="0" fontId="0" fillId="33" borderId="10" xfId="0" applyNumberFormat="1" applyFont="1" applyFill="1" applyBorder="1"/>
    <xf numFmtId="0" fontId="0" fillId="0" borderId="10" xfId="0" applyNumberFormat="1" applyFont="1" applyBorder="1"/>
    <xf numFmtId="3" fontId="0" fillId="0" borderId="10" xfId="0" applyNumberFormat="1" applyFont="1" applyBorder="1"/>
    <xf numFmtId="3" fontId="0" fillId="33" borderId="10" xfId="0" applyNumberFormat="1" applyFont="1" applyFill="1" applyBorder="1"/>
    <xf numFmtId="0" fontId="0" fillId="33" borderId="11" xfId="0" applyNumberFormat="1" applyFont="1" applyFill="1" applyBorder="1" applyAlignment="1">
      <alignment horizontal="center"/>
    </xf>
    <xf numFmtId="0" fontId="0" fillId="33" borderId="0" xfId="0" applyNumberFormat="1" applyFont="1" applyFill="1" applyBorder="1" applyAlignment="1">
      <alignment horizontal="center"/>
    </xf>
    <xf numFmtId="3" fontId="0" fillId="0" borderId="0" xfId="0" applyNumberFormat="1"/>
    <xf numFmtId="164" fontId="0" fillId="0" borderId="0" xfId="42" applyNumberFormat="1" applyFont="1" applyBorder="1"/>
    <xf numFmtId="3" fontId="0" fillId="0" borderId="0" xfId="0" applyNumberFormat="1" applyFont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election_analysis!$E$1:$E$2</c:f>
              <c:strCache>
                <c:ptCount val="2"/>
                <c:pt idx="0">
                  <c:v>County Votes</c:v>
                </c:pt>
                <c:pt idx="1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43E-4636-BF79-ADEFA141FEC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43E-4636-BF79-ADEFA141FEC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43E-4636-BF79-ADEFA141FE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election_analysis!$D$3:$D$5</c:f>
              <c:strCache>
                <c:ptCount val="3"/>
                <c:pt idx="0">
                  <c:v>Jefferson</c:v>
                </c:pt>
                <c:pt idx="1">
                  <c:v>Denver</c:v>
                </c:pt>
                <c:pt idx="2">
                  <c:v>Arapahoe</c:v>
                </c:pt>
              </c:strCache>
            </c:strRef>
          </c:cat>
          <c:val>
            <c:numRef>
              <c:f>election_analysis!$E$3:$E$5</c:f>
              <c:numCache>
                <c:formatCode>#,##0</c:formatCode>
                <c:ptCount val="3"/>
                <c:pt idx="0">
                  <c:v>38855</c:v>
                </c:pt>
                <c:pt idx="1">
                  <c:v>306055</c:v>
                </c:pt>
                <c:pt idx="2">
                  <c:v>24801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E-4636-BF79-ADEFA141FEC8}"/>
            </c:ext>
          </c:extLst>
        </c:ser>
        <c:ser>
          <c:idx val="1"/>
          <c:order val="1"/>
          <c:tx>
            <c:strRef>
              <c:f>election_analysis!$F$1:$F$2</c:f>
              <c:strCache>
                <c:ptCount val="2"/>
                <c:pt idx="0">
                  <c:v>County Votes</c:v>
                </c:pt>
                <c:pt idx="1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election_analysis!$D$3:$D$5</c:f>
              <c:strCache>
                <c:ptCount val="3"/>
                <c:pt idx="0">
                  <c:v>Jefferson</c:v>
                </c:pt>
                <c:pt idx="1">
                  <c:v>Denver</c:v>
                </c:pt>
                <c:pt idx="2">
                  <c:v>Arapahoe</c:v>
                </c:pt>
              </c:strCache>
            </c:strRef>
          </c:cat>
          <c:val>
            <c:numRef>
              <c:f>election_analysis!$F$3:$F$5</c:f>
              <c:numCache>
                <c:formatCode>0.0%</c:formatCode>
                <c:ptCount val="3"/>
                <c:pt idx="0">
                  <c:v>0.10509560169970598</c:v>
                </c:pt>
                <c:pt idx="1">
                  <c:v>0.82782227199082525</c:v>
                </c:pt>
                <c:pt idx="2">
                  <c:v>6.7082126309468748E-2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3E-4636-BF79-ADEFA141FEC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election_analysis!$I$1:$I$2</c:f>
              <c:strCache>
                <c:ptCount val="2"/>
                <c:pt idx="0">
                  <c:v>Candidate Votes</c:v>
                </c:pt>
                <c:pt idx="1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election_analysis!$H$3:$H$5</c:f>
              <c:strCache>
                <c:ptCount val="3"/>
                <c:pt idx="0">
                  <c:v>Charles Casper Stockham</c:v>
                </c:pt>
                <c:pt idx="1">
                  <c:v>Diana DeGette</c:v>
                </c:pt>
                <c:pt idx="2">
                  <c:v>Raymon Anthony Doane</c:v>
                </c:pt>
              </c:strCache>
            </c:strRef>
          </c:cat>
          <c:val>
            <c:numRef>
              <c:f>election_analysis!$I$3:$I$5</c:f>
              <c:numCache>
                <c:formatCode>#,##0</c:formatCode>
                <c:ptCount val="3"/>
                <c:pt idx="0">
                  <c:v>85213</c:v>
                </c:pt>
                <c:pt idx="1">
                  <c:v>272892</c:v>
                </c:pt>
                <c:pt idx="2">
                  <c:v>11606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28-42F9-82B4-F1996689D435}"/>
            </c:ext>
          </c:extLst>
        </c:ser>
        <c:ser>
          <c:idx val="1"/>
          <c:order val="1"/>
          <c:tx>
            <c:strRef>
              <c:f>election_analysis!$J$1:$J$2</c:f>
              <c:strCache>
                <c:ptCount val="2"/>
                <c:pt idx="0">
                  <c:v>Candidate Votes</c:v>
                </c:pt>
                <c:pt idx="1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election_analysis!$H$3:$H$5</c:f>
              <c:strCache>
                <c:ptCount val="3"/>
                <c:pt idx="0">
                  <c:v>Charles Casper Stockham</c:v>
                </c:pt>
                <c:pt idx="1">
                  <c:v>Diana DeGette</c:v>
                </c:pt>
                <c:pt idx="2">
                  <c:v>Raymon Anthony Doane</c:v>
                </c:pt>
              </c:strCache>
            </c:strRef>
          </c:cat>
          <c:val>
            <c:numRef>
              <c:f>election_analysis!$J$3:$J$5</c:f>
              <c:numCache>
                <c:formatCode>0.0%</c:formatCode>
                <c:ptCount val="3"/>
                <c:pt idx="0">
                  <c:v>0.2304854332167558</c:v>
                </c:pt>
                <c:pt idx="1">
                  <c:v>0.73812247945016518</c:v>
                </c:pt>
                <c:pt idx="2">
                  <c:v>3.1392087333079077E-2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28-42F9-82B4-F1996689D43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777712160979872"/>
          <c:y val="0.31728856809565464"/>
          <c:w val="0.30800651010326768"/>
          <c:h val="0.486209536307961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9</xdr:row>
      <xdr:rowOff>85725</xdr:rowOff>
    </xdr:from>
    <xdr:to>
      <xdr:col>7</xdr:col>
      <xdr:colOff>1152525</xdr:colOff>
      <xdr:row>24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41E4B7-E083-8080-37EC-27656CBD5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371475</xdr:colOff>
      <xdr:row>9</xdr:row>
      <xdr:rowOff>71437</xdr:rowOff>
    </xdr:from>
    <xdr:to>
      <xdr:col>15</xdr:col>
      <xdr:colOff>400050</xdr:colOff>
      <xdr:row>23</xdr:row>
      <xdr:rowOff>147637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F308C7F-9472-E527-0ED5-31414E09A5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E271DD7-041B-482E-B6C6-E6EA757BF937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E919F7-D446-4AAF-AA73-A79351ABA80D}" name="election_analysis" displayName="election_analysis" ref="A1:A22" tableType="queryTable" totalsRowShown="0">
  <autoFilter ref="A1:A22" xr:uid="{7CE919F7-D446-4AAF-AA73-A79351ABA80D}"/>
  <tableColumns count="1">
    <tableColumn id="1" xr3:uid="{31DDD9EE-2488-461C-AAEE-547013F65BC5}" uniqueName="1" name="Column1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14B2-479A-42EF-967C-83934A49E110}">
  <dimension ref="A1:J22"/>
  <sheetViews>
    <sheetView tabSelected="1" workbookViewId="0">
      <selection activeCell="P4" sqref="P4"/>
    </sheetView>
  </sheetViews>
  <sheetFormatPr defaultRowHeight="15" x14ac:dyDescent="0.25"/>
  <cols>
    <col min="1" max="1" width="37.42578125" bestFit="1" customWidth="1"/>
    <col min="4" max="4" width="11.42578125" customWidth="1"/>
    <col min="5" max="6" width="10.85546875" customWidth="1"/>
    <col min="8" max="8" width="23.42578125" bestFit="1" customWidth="1"/>
    <col min="9" max="9" width="10.140625" bestFit="1" customWidth="1"/>
  </cols>
  <sheetData>
    <row r="1" spans="1:10" x14ac:dyDescent="0.25">
      <c r="A1" t="s">
        <v>8</v>
      </c>
      <c r="D1" s="6" t="s">
        <v>24</v>
      </c>
      <c r="E1" s="7"/>
      <c r="F1" s="7"/>
      <c r="H1" s="6" t="s">
        <v>25</v>
      </c>
      <c r="I1" s="7"/>
      <c r="J1" s="7"/>
    </row>
    <row r="2" spans="1:10" x14ac:dyDescent="0.25">
      <c r="A2" s="1" t="s">
        <v>9</v>
      </c>
      <c r="D2" s="3" t="s">
        <v>0</v>
      </c>
      <c r="E2" s="4" t="s">
        <v>26</v>
      </c>
      <c r="F2" s="10" t="s">
        <v>27</v>
      </c>
      <c r="H2" s="3" t="s">
        <v>1</v>
      </c>
      <c r="I2" s="4" t="s">
        <v>26</v>
      </c>
      <c r="J2" s="10" t="s">
        <v>27</v>
      </c>
    </row>
    <row r="3" spans="1:10" x14ac:dyDescent="0.25">
      <c r="A3" s="1" t="s">
        <v>10</v>
      </c>
      <c r="D3" s="3" t="s">
        <v>2</v>
      </c>
      <c r="E3" s="4">
        <v>38855</v>
      </c>
      <c r="F3" s="9">
        <f>E3/$E$6</f>
        <v>0.10509560169970598</v>
      </c>
      <c r="H3" s="3" t="s">
        <v>3</v>
      </c>
      <c r="I3" s="4">
        <v>85213</v>
      </c>
      <c r="J3" s="9">
        <f>I3/$I$6</f>
        <v>0.2304854332167558</v>
      </c>
    </row>
    <row r="4" spans="1:10" x14ac:dyDescent="0.25">
      <c r="A4" s="1" t="s">
        <v>11</v>
      </c>
      <c r="D4" s="2" t="s">
        <v>6</v>
      </c>
      <c r="E4" s="5">
        <v>306055</v>
      </c>
      <c r="F4" s="9">
        <f t="shared" ref="F4:F5" si="0">E4/$E$6</f>
        <v>0.82782227199082525</v>
      </c>
      <c r="H4" s="2" t="s">
        <v>4</v>
      </c>
      <c r="I4" s="5">
        <v>272892</v>
      </c>
      <c r="J4" s="9">
        <f t="shared" ref="J4:J5" si="1">I4/$I$6</f>
        <v>0.73812247945016518</v>
      </c>
    </row>
    <row r="5" spans="1:10" x14ac:dyDescent="0.25">
      <c r="A5" s="1" t="s">
        <v>12</v>
      </c>
      <c r="D5" s="3" t="s">
        <v>7</v>
      </c>
      <c r="E5" s="4">
        <v>24801</v>
      </c>
      <c r="F5" s="9">
        <f t="shared" si="0"/>
        <v>6.7082126309468748E-2</v>
      </c>
      <c r="H5" s="3" t="s">
        <v>5</v>
      </c>
      <c r="I5" s="4">
        <v>11606</v>
      </c>
      <c r="J5" s="9">
        <f t="shared" si="1"/>
        <v>3.1392087333079077E-2</v>
      </c>
    </row>
    <row r="6" spans="1:10" x14ac:dyDescent="0.25">
      <c r="A6" s="1" t="s">
        <v>11</v>
      </c>
      <c r="E6" s="8">
        <f>SUM(E3:E5)</f>
        <v>369711</v>
      </c>
      <c r="I6" s="8">
        <f>SUM(I3:I5)</f>
        <v>369711</v>
      </c>
    </row>
    <row r="7" spans="1:10" x14ac:dyDescent="0.25">
      <c r="A7" s="1" t="s">
        <v>9</v>
      </c>
    </row>
    <row r="8" spans="1:10" x14ac:dyDescent="0.25">
      <c r="A8" s="1" t="s">
        <v>13</v>
      </c>
    </row>
    <row r="9" spans="1:10" x14ac:dyDescent="0.25">
      <c r="A9" s="1" t="s">
        <v>14</v>
      </c>
    </row>
    <row r="10" spans="1:10" x14ac:dyDescent="0.25">
      <c r="A10" s="1" t="s">
        <v>15</v>
      </c>
    </row>
    <row r="11" spans="1:10" x14ac:dyDescent="0.25">
      <c r="A11" s="1" t="s">
        <v>16</v>
      </c>
    </row>
    <row r="12" spans="1:10" x14ac:dyDescent="0.25">
      <c r="A12" s="1" t="s">
        <v>11</v>
      </c>
    </row>
    <row r="13" spans="1:10" x14ac:dyDescent="0.25">
      <c r="A13" s="1" t="s">
        <v>17</v>
      </c>
    </row>
    <row r="14" spans="1:10" x14ac:dyDescent="0.25">
      <c r="A14" s="1" t="s">
        <v>11</v>
      </c>
    </row>
    <row r="15" spans="1:10" x14ac:dyDescent="0.25">
      <c r="A15" s="1" t="s">
        <v>18</v>
      </c>
    </row>
    <row r="16" spans="1:10" x14ac:dyDescent="0.25">
      <c r="A16" s="1" t="s">
        <v>19</v>
      </c>
    </row>
    <row r="17" spans="1:1" x14ac:dyDescent="0.25">
      <c r="A17" s="1" t="s">
        <v>20</v>
      </c>
    </row>
    <row r="18" spans="1:1" x14ac:dyDescent="0.25">
      <c r="A18" s="1" t="s">
        <v>11</v>
      </c>
    </row>
    <row r="19" spans="1:1" x14ac:dyDescent="0.25">
      <c r="A19" s="1" t="s">
        <v>21</v>
      </c>
    </row>
    <row r="20" spans="1:1" x14ac:dyDescent="0.25">
      <c r="A20" s="1" t="s">
        <v>22</v>
      </c>
    </row>
    <row r="21" spans="1:1" x14ac:dyDescent="0.25">
      <c r="A21" s="1" t="s">
        <v>23</v>
      </c>
    </row>
    <row r="22" spans="1:1" x14ac:dyDescent="0.25">
      <c r="A22" s="1" t="s">
        <v>11</v>
      </c>
    </row>
  </sheetData>
  <mergeCells count="2">
    <mergeCell ref="D1:F1"/>
    <mergeCell ref="H1:J1"/>
  </mergeCell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5B07F2-8C46-4343-A392-D4D3C6558D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election_analysis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Onassis</dc:creator>
  <cp:lastModifiedBy>Onassis</cp:lastModifiedBy>
  <dcterms:created xsi:type="dcterms:W3CDTF">2022-07-10T04:35:59Z</dcterms:created>
  <dcterms:modified xsi:type="dcterms:W3CDTF">2022-07-10T05:11:38Z</dcterms:modified>
</cp:coreProperties>
</file>